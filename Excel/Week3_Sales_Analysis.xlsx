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weak 3 sql project\Week3_SQL_Excel_Assignment\Excel\"/>
    </mc:Choice>
  </mc:AlternateContent>
  <xr:revisionPtr revIDLastSave="0" documentId="13_ncr:1_{35C110FD-2D09-4590-8352-2FA18C5F7C5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ales_Data" sheetId="1" r:id="rId1"/>
    <sheet name="Customers" sheetId="2" r:id="rId2"/>
    <sheet name="Products" sheetId="3" r:id="rId3"/>
    <sheet name="Employees" sheetId="4" r:id="rId4"/>
    <sheet name="Analysis" sheetId="5" r:id="rId5"/>
    <sheet name="Pivot_Table" sheetId="6" r:id="rId6"/>
  </sheets>
  <definedNames>
    <definedName name="_xlnm._FilterDatabase" localSheetId="1" hidden="1">Customers!$A$1:$E$19</definedName>
    <definedName name="_xlnm._FilterDatabase" localSheetId="3" hidden="1">Employees!$A$1:$D$8</definedName>
    <definedName name="_xlnm._FilterDatabase" localSheetId="2" hidden="1">Products!$A$1:$E$13</definedName>
    <definedName name="_xlnm._FilterDatabase" localSheetId="0" hidden="1">Sales_Data!$A$1:$M$43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1" i="5" l="1"/>
  <c r="B10" i="5"/>
  <c r="B9" i="5"/>
  <c r="B8" i="5"/>
  <c r="B7" i="5"/>
  <c r="B6" i="5"/>
  <c r="B5" i="5"/>
  <c r="B4" i="5"/>
  <c r="B3" i="5"/>
  <c r="B2" i="5"/>
</calcChain>
</file>

<file path=xl/sharedStrings.xml><?xml version="1.0" encoding="utf-8"?>
<sst xmlns="http://schemas.openxmlformats.org/spreadsheetml/2006/main" count="408" uniqueCount="163">
  <si>
    <t>SaleID</t>
  </si>
  <si>
    <t>SaleDate</t>
  </si>
  <si>
    <t>CustomerID</t>
  </si>
  <si>
    <t>CustomerName</t>
  </si>
  <si>
    <t>City</t>
  </si>
  <si>
    <t>ProductID</t>
  </si>
  <si>
    <t>ProductName</t>
  </si>
  <si>
    <t>Category</t>
  </si>
  <si>
    <t>Quantity</t>
  </si>
  <si>
    <t>UnitPrice</t>
  </si>
  <si>
    <t>SalesAmount</t>
  </si>
  <si>
    <t>EmployeeID</t>
  </si>
  <si>
    <t>PaymentMethod</t>
  </si>
  <si>
    <t>2024-01-05</t>
  </si>
  <si>
    <t>Ananya Sharma</t>
  </si>
  <si>
    <t>Delhi</t>
  </si>
  <si>
    <t>Wireless Mouse</t>
  </si>
  <si>
    <t>Electronics</t>
  </si>
  <si>
    <t>Cash</t>
  </si>
  <si>
    <t>2024-01-08</t>
  </si>
  <si>
    <t>Rohan Mehta</t>
  </si>
  <si>
    <t>Mumbai</t>
  </si>
  <si>
    <t>4K Smart TV</t>
  </si>
  <si>
    <t>UPI</t>
  </si>
  <si>
    <t>2024-01-12</t>
  </si>
  <si>
    <t>Priya Nair</t>
  </si>
  <si>
    <t>Bengaluru</t>
  </si>
  <si>
    <t>Coffee Maker</t>
  </si>
  <si>
    <t>Home Appliances</t>
  </si>
  <si>
    <t>Card</t>
  </si>
  <si>
    <t>2024-01-17</t>
  </si>
  <si>
    <t>Aman Verma</t>
  </si>
  <si>
    <t>Jaipur</t>
  </si>
  <si>
    <t>Office Chair</t>
  </si>
  <si>
    <t>Furniture</t>
  </si>
  <si>
    <t>2024-01-20</t>
  </si>
  <si>
    <t>Sneha Iyer</t>
  </si>
  <si>
    <t>Chennai</t>
  </si>
  <si>
    <t>Bluetooth Speaker</t>
  </si>
  <si>
    <t>2024-01-28</t>
  </si>
  <si>
    <t>Karan Singh</t>
  </si>
  <si>
    <t>Lucknow</t>
  </si>
  <si>
    <t>Gaming Keyboard</t>
  </si>
  <si>
    <t>2024-02-02</t>
  </si>
  <si>
    <t>Neha Kapoor</t>
  </si>
  <si>
    <t>Premium Backpack</t>
  </si>
  <si>
    <t>Fashion</t>
  </si>
  <si>
    <t>2024-02-04</t>
  </si>
  <si>
    <t>Vikram Rao</t>
  </si>
  <si>
    <t>Hyderabad</t>
  </si>
  <si>
    <t>Woolen Blanket</t>
  </si>
  <si>
    <t>Home</t>
  </si>
  <si>
    <t>2024-02-10</t>
  </si>
  <si>
    <t>Meera Joshi</t>
  </si>
  <si>
    <t>Pune</t>
  </si>
  <si>
    <t>Air Fryer</t>
  </si>
  <si>
    <t>2024-02-16</t>
  </si>
  <si>
    <t>Rahul Gupta</t>
  </si>
  <si>
    <t>Kolkata</t>
  </si>
  <si>
    <t>2024-02-18</t>
  </si>
  <si>
    <t>Sonia Malhotra</t>
  </si>
  <si>
    <t>Ahmedabad</t>
  </si>
  <si>
    <t>Desk Lamp</t>
  </si>
  <si>
    <t>2024-02-26</t>
  </si>
  <si>
    <t>Arjun Patel</t>
  </si>
  <si>
    <t>Surat</t>
  </si>
  <si>
    <t>Water Purifier</t>
  </si>
  <si>
    <t>2024-03-01</t>
  </si>
  <si>
    <t>Nisha Reddy</t>
  </si>
  <si>
    <t>2024-03-05</t>
  </si>
  <si>
    <t>Deepak Sharma</t>
  </si>
  <si>
    <t>Noida</t>
  </si>
  <si>
    <t>Laptop Stand</t>
  </si>
  <si>
    <t>Accessories</t>
  </si>
  <si>
    <t>2024-03-12</t>
  </si>
  <si>
    <t>Ishita Sen</t>
  </si>
  <si>
    <t>2024-03-17</t>
  </si>
  <si>
    <t>Manav Khanna</t>
  </si>
  <si>
    <t>2024-03-24</t>
  </si>
  <si>
    <t>Tanvi Sood</t>
  </si>
  <si>
    <t>Chandigarh</t>
  </si>
  <si>
    <t>2024-04-03</t>
  </si>
  <si>
    <t>Harshit Jain</t>
  </si>
  <si>
    <t>Indore</t>
  </si>
  <si>
    <t>2024-04-06</t>
  </si>
  <si>
    <t>2024-04-10</t>
  </si>
  <si>
    <t>2024-04-14</t>
  </si>
  <si>
    <t>2024-04-18</t>
  </si>
  <si>
    <t>2024-04-21</t>
  </si>
  <si>
    <t>2024-04-27</t>
  </si>
  <si>
    <t>2024-05-02</t>
  </si>
  <si>
    <t>2024-05-06</t>
  </si>
  <si>
    <t>2024-05-11</t>
  </si>
  <si>
    <t>2024-05-19</t>
  </si>
  <si>
    <t>2024-05-25</t>
  </si>
  <si>
    <t>2024-06-04</t>
  </si>
  <si>
    <t>2024-06-08</t>
  </si>
  <si>
    <t>2024-06-12</t>
  </si>
  <si>
    <t>2024-06-17</t>
  </si>
  <si>
    <t>2024-06-22</t>
  </si>
  <si>
    <t>2024-07-01</t>
  </si>
  <si>
    <t>2024-07-09</t>
  </si>
  <si>
    <t>2024-07-14</t>
  </si>
  <si>
    <t>2024-07-18</t>
  </si>
  <si>
    <t>2024-07-26</t>
  </si>
  <si>
    <t>2024-08-02</t>
  </si>
  <si>
    <t>2024-08-10</t>
  </si>
  <si>
    <t>2024-08-18</t>
  </si>
  <si>
    <t>Email</t>
  </si>
  <si>
    <t>CustomerType</t>
  </si>
  <si>
    <t>ananya.sharma@gmail.com</t>
  </si>
  <si>
    <t>Retail</t>
  </si>
  <si>
    <t>rohan.mehta@gmail.com</t>
  </si>
  <si>
    <t>Wholesale</t>
  </si>
  <si>
    <t>priya.nair@gmail.com</t>
  </si>
  <si>
    <t>aman.verma@gmail.com</t>
  </si>
  <si>
    <t>sneha.iyer@gmail.com</t>
  </si>
  <si>
    <t>Corporate</t>
  </si>
  <si>
    <t>karan.singh@gmail.com</t>
  </si>
  <si>
    <t>neha.kapoor@gmail.com</t>
  </si>
  <si>
    <t>vikram.rao@gmail.com</t>
  </si>
  <si>
    <t>meera.joshi@gmail.com</t>
  </si>
  <si>
    <t>rahul.gupta@gmail.com</t>
  </si>
  <si>
    <t>sonia.malhotra@gmail.com</t>
  </si>
  <si>
    <t>arjun.patel@gmail.com</t>
  </si>
  <si>
    <t>nisha.reddy@gmail.com</t>
  </si>
  <si>
    <t>deepak.sharma@gmail.com</t>
  </si>
  <si>
    <t>ishita.sen@gmail.com</t>
  </si>
  <si>
    <t>manav.khanna@gmail.com</t>
  </si>
  <si>
    <t>tanvi.sood@gmail.com</t>
  </si>
  <si>
    <t>harshit.jain@gmail.com</t>
  </si>
  <si>
    <t>Stock</t>
  </si>
  <si>
    <t>EmployeeName</t>
  </si>
  <si>
    <t>Department</t>
  </si>
  <si>
    <t>Salary</t>
  </si>
  <si>
    <t>Sales</t>
  </si>
  <si>
    <t>Ramesh Kumar</t>
  </si>
  <si>
    <t>Aditi Shah</t>
  </si>
  <si>
    <t>Operations</t>
  </si>
  <si>
    <t>Naveen Singh</t>
  </si>
  <si>
    <t>Support</t>
  </si>
  <si>
    <t>Kavya Menon</t>
  </si>
  <si>
    <t>Sandeep Raj</t>
  </si>
  <si>
    <t>Logistics</t>
  </si>
  <si>
    <t>Mitali Joshi</t>
  </si>
  <si>
    <t>Metric</t>
  </si>
  <si>
    <t>Value / Formula</t>
  </si>
  <si>
    <t>Total Sales</t>
  </si>
  <si>
    <t>Average Sales</t>
  </si>
  <si>
    <t>Highest Sale</t>
  </si>
  <si>
    <t>Lowest Sale</t>
  </si>
  <si>
    <t>High Sales Count</t>
  </si>
  <si>
    <t>High Sales Total</t>
  </si>
  <si>
    <t>Sales Category Example</t>
  </si>
  <si>
    <t>Count High</t>
  </si>
  <si>
    <t>VLOOKUP Product</t>
  </si>
  <si>
    <t>XLOOKUP Product</t>
  </si>
  <si>
    <t>Pivot Table Design</t>
  </si>
  <si>
    <t>Rows: ProductName</t>
  </si>
  <si>
    <t>Values: Sum of SalesAmount</t>
  </si>
  <si>
    <t>Rows: City</t>
  </si>
  <si>
    <t>Chart Recommendation: Sales by Product - Column Chart</t>
  </si>
  <si>
    <t>Chart Recommendation: Sales by City - Bar Chart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</si>
</sst>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\₹#,##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" fontId="0" fillId="0" borderId="1" xfId="0" applyNumberFormat="1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3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0" max="10" width="13.7109375" customWidth="1"/>
    <col min="11" max="11" width="20.8554687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1</v>
      </c>
      <c r="B2" s="3" t="s">
        <v>13</v>
      </c>
      <c r="C2" s="2">
        <v>1</v>
      </c>
      <c r="D2" s="2" t="s">
        <v>14</v>
      </c>
      <c r="E2" s="2" t="s">
        <v>15</v>
      </c>
      <c r="F2" s="2">
        <v>1</v>
      </c>
      <c r="G2" s="2" t="s">
        <v>16</v>
      </c>
      <c r="H2" s="2" t="s">
        <v>17</v>
      </c>
      <c r="I2" s="4">
        <v>2</v>
      </c>
      <c r="J2" s="5">
        <v>950</v>
      </c>
      <c r="K2" s="5">
        <v>1900</v>
      </c>
      <c r="L2" s="2">
        <v>1</v>
      </c>
      <c r="M2" s="2" t="s">
        <v>18</v>
      </c>
    </row>
    <row r="3" spans="1:13" x14ac:dyDescent="0.25">
      <c r="A3" s="2">
        <v>2</v>
      </c>
      <c r="B3" s="3" t="s">
        <v>19</v>
      </c>
      <c r="C3" s="2">
        <v>2</v>
      </c>
      <c r="D3" s="2" t="s">
        <v>20</v>
      </c>
      <c r="E3" s="2" t="s">
        <v>21</v>
      </c>
      <c r="F3" s="2">
        <v>2</v>
      </c>
      <c r="G3" s="2" t="s">
        <v>22</v>
      </c>
      <c r="H3" s="2" t="s">
        <v>17</v>
      </c>
      <c r="I3" s="4">
        <v>1</v>
      </c>
      <c r="J3" s="5">
        <v>28999</v>
      </c>
      <c r="K3" s="5">
        <v>28999</v>
      </c>
      <c r="L3" s="2">
        <v>2</v>
      </c>
      <c r="M3" s="2" t="s">
        <v>23</v>
      </c>
    </row>
    <row r="4" spans="1:13" x14ac:dyDescent="0.25">
      <c r="A4" s="2">
        <v>3</v>
      </c>
      <c r="B4" s="3" t="s">
        <v>24</v>
      </c>
      <c r="C4" s="2">
        <v>3</v>
      </c>
      <c r="D4" s="2" t="s">
        <v>25</v>
      </c>
      <c r="E4" s="2" t="s">
        <v>26</v>
      </c>
      <c r="F4" s="2">
        <v>9</v>
      </c>
      <c r="G4" s="2" t="s">
        <v>27</v>
      </c>
      <c r="H4" s="2" t="s">
        <v>28</v>
      </c>
      <c r="I4" s="4">
        <v>3</v>
      </c>
      <c r="J4" s="5">
        <v>5499</v>
      </c>
      <c r="K4" s="5">
        <v>16497</v>
      </c>
      <c r="L4" s="2">
        <v>3</v>
      </c>
      <c r="M4" s="2" t="s">
        <v>29</v>
      </c>
    </row>
    <row r="5" spans="1:13" x14ac:dyDescent="0.25">
      <c r="A5" s="2">
        <v>4</v>
      </c>
      <c r="B5" s="3" t="s">
        <v>30</v>
      </c>
      <c r="C5" s="2">
        <v>4</v>
      </c>
      <c r="D5" s="2" t="s">
        <v>31</v>
      </c>
      <c r="E5" s="2" t="s">
        <v>32</v>
      </c>
      <c r="F5" s="2">
        <v>3</v>
      </c>
      <c r="G5" s="2" t="s">
        <v>33</v>
      </c>
      <c r="H5" s="2" t="s">
        <v>34</v>
      </c>
      <c r="I5" s="4">
        <v>2</v>
      </c>
      <c r="J5" s="5">
        <v>6999</v>
      </c>
      <c r="K5" s="5">
        <v>13998</v>
      </c>
      <c r="L5" s="2">
        <v>5</v>
      </c>
      <c r="M5" s="2" t="s">
        <v>18</v>
      </c>
    </row>
    <row r="6" spans="1:13" x14ac:dyDescent="0.25">
      <c r="A6" s="2">
        <v>5</v>
      </c>
      <c r="B6" s="3" t="s">
        <v>35</v>
      </c>
      <c r="C6" s="2">
        <v>5</v>
      </c>
      <c r="D6" s="2" t="s">
        <v>36</v>
      </c>
      <c r="E6" s="2" t="s">
        <v>37</v>
      </c>
      <c r="F6" s="2">
        <v>5</v>
      </c>
      <c r="G6" s="2" t="s">
        <v>38</v>
      </c>
      <c r="H6" s="2" t="s">
        <v>17</v>
      </c>
      <c r="I6" s="4">
        <v>4</v>
      </c>
      <c r="J6" s="5">
        <v>3499</v>
      </c>
      <c r="K6" s="5">
        <v>13996</v>
      </c>
      <c r="L6" s="2">
        <v>1</v>
      </c>
      <c r="M6" s="2" t="s">
        <v>23</v>
      </c>
    </row>
    <row r="7" spans="1:13" x14ac:dyDescent="0.25">
      <c r="A7" s="2">
        <v>6</v>
      </c>
      <c r="B7" s="3" t="s">
        <v>39</v>
      </c>
      <c r="C7" s="2">
        <v>6</v>
      </c>
      <c r="D7" s="2" t="s">
        <v>40</v>
      </c>
      <c r="E7" s="2" t="s">
        <v>41</v>
      </c>
      <c r="F7" s="2">
        <v>10</v>
      </c>
      <c r="G7" s="2" t="s">
        <v>42</v>
      </c>
      <c r="H7" s="2" t="s">
        <v>17</v>
      </c>
      <c r="I7" s="4">
        <v>2</v>
      </c>
      <c r="J7" s="5">
        <v>3999</v>
      </c>
      <c r="K7" s="5">
        <v>7998</v>
      </c>
      <c r="L7" s="2">
        <v>2</v>
      </c>
      <c r="M7" s="2" t="s">
        <v>29</v>
      </c>
    </row>
    <row r="8" spans="1:13" x14ac:dyDescent="0.25">
      <c r="A8" s="2">
        <v>7</v>
      </c>
      <c r="B8" s="3" t="s">
        <v>43</v>
      </c>
      <c r="C8" s="2">
        <v>7</v>
      </c>
      <c r="D8" s="2" t="s">
        <v>44</v>
      </c>
      <c r="E8" s="2" t="s">
        <v>15</v>
      </c>
      <c r="F8" s="2">
        <v>6</v>
      </c>
      <c r="G8" s="2" t="s">
        <v>45</v>
      </c>
      <c r="H8" s="2" t="s">
        <v>46</v>
      </c>
      <c r="I8" s="4">
        <v>3</v>
      </c>
      <c r="J8" s="5">
        <v>2499</v>
      </c>
      <c r="K8" s="5">
        <v>7497</v>
      </c>
      <c r="L8" s="2">
        <v>7</v>
      </c>
      <c r="M8" s="2" t="s">
        <v>23</v>
      </c>
    </row>
    <row r="9" spans="1:13" x14ac:dyDescent="0.25">
      <c r="A9" s="2">
        <v>8</v>
      </c>
      <c r="B9" s="3" t="s">
        <v>47</v>
      </c>
      <c r="C9" s="2">
        <v>8</v>
      </c>
      <c r="D9" s="2" t="s">
        <v>48</v>
      </c>
      <c r="E9" s="2" t="s">
        <v>49</v>
      </c>
      <c r="F9" s="2">
        <v>8</v>
      </c>
      <c r="G9" s="2" t="s">
        <v>50</v>
      </c>
      <c r="H9" s="2" t="s">
        <v>51</v>
      </c>
      <c r="I9" s="4">
        <v>1</v>
      </c>
      <c r="J9" s="5">
        <v>1899</v>
      </c>
      <c r="K9" s="5">
        <v>1899</v>
      </c>
      <c r="L9" s="2">
        <v>4</v>
      </c>
      <c r="M9" s="2" t="s">
        <v>18</v>
      </c>
    </row>
    <row r="10" spans="1:13" x14ac:dyDescent="0.25">
      <c r="A10" s="2">
        <v>9</v>
      </c>
      <c r="B10" s="3" t="s">
        <v>52</v>
      </c>
      <c r="C10" s="2">
        <v>9</v>
      </c>
      <c r="D10" s="2" t="s">
        <v>53</v>
      </c>
      <c r="E10" s="2" t="s">
        <v>54</v>
      </c>
      <c r="F10" s="2">
        <v>7</v>
      </c>
      <c r="G10" s="2" t="s">
        <v>55</v>
      </c>
      <c r="H10" s="2" t="s">
        <v>28</v>
      </c>
      <c r="I10" s="4">
        <v>2</v>
      </c>
      <c r="J10" s="5">
        <v>7999</v>
      </c>
      <c r="K10" s="5">
        <v>15998</v>
      </c>
      <c r="L10" s="2">
        <v>3</v>
      </c>
      <c r="M10" s="2" t="s">
        <v>29</v>
      </c>
    </row>
    <row r="11" spans="1:13" x14ac:dyDescent="0.25">
      <c r="A11" s="2">
        <v>10</v>
      </c>
      <c r="B11" s="3" t="s">
        <v>56</v>
      </c>
      <c r="C11" s="2">
        <v>10</v>
      </c>
      <c r="D11" s="2" t="s">
        <v>57</v>
      </c>
      <c r="E11" s="2" t="s">
        <v>58</v>
      </c>
      <c r="F11" s="2">
        <v>2</v>
      </c>
      <c r="G11" s="2" t="s">
        <v>22</v>
      </c>
      <c r="H11" s="2" t="s">
        <v>17</v>
      </c>
      <c r="I11" s="4">
        <v>1</v>
      </c>
      <c r="J11" s="5">
        <v>28999</v>
      </c>
      <c r="K11" s="5">
        <v>28999</v>
      </c>
      <c r="L11" s="2">
        <v>5</v>
      </c>
      <c r="M11" s="2" t="s">
        <v>23</v>
      </c>
    </row>
    <row r="12" spans="1:13" x14ac:dyDescent="0.25">
      <c r="A12" s="2">
        <v>11</v>
      </c>
      <c r="B12" s="3" t="s">
        <v>59</v>
      </c>
      <c r="C12" s="2">
        <v>11</v>
      </c>
      <c r="D12" s="2" t="s">
        <v>60</v>
      </c>
      <c r="E12" s="2" t="s">
        <v>61</v>
      </c>
      <c r="F12" s="2">
        <v>11</v>
      </c>
      <c r="G12" s="2" t="s">
        <v>62</v>
      </c>
      <c r="H12" s="2" t="s">
        <v>51</v>
      </c>
      <c r="I12" s="4">
        <v>2</v>
      </c>
      <c r="J12" s="5">
        <v>1250</v>
      </c>
      <c r="K12" s="5">
        <v>2500</v>
      </c>
      <c r="L12" s="2">
        <v>2</v>
      </c>
      <c r="M12" s="2" t="s">
        <v>29</v>
      </c>
    </row>
    <row r="13" spans="1:13" x14ac:dyDescent="0.25">
      <c r="A13" s="2">
        <v>12</v>
      </c>
      <c r="B13" s="3" t="s">
        <v>63</v>
      </c>
      <c r="C13" s="2">
        <v>12</v>
      </c>
      <c r="D13" s="2" t="s">
        <v>64</v>
      </c>
      <c r="E13" s="2" t="s">
        <v>65</v>
      </c>
      <c r="F13" s="2">
        <v>12</v>
      </c>
      <c r="G13" s="2" t="s">
        <v>66</v>
      </c>
      <c r="H13" s="2" t="s">
        <v>28</v>
      </c>
      <c r="I13" s="4">
        <v>1</v>
      </c>
      <c r="J13" s="5">
        <v>18999</v>
      </c>
      <c r="K13" s="5">
        <v>18999</v>
      </c>
      <c r="L13" s="2">
        <v>6</v>
      </c>
      <c r="M13" s="2" t="s">
        <v>18</v>
      </c>
    </row>
    <row r="14" spans="1:13" x14ac:dyDescent="0.25">
      <c r="A14" s="2">
        <v>13</v>
      </c>
      <c r="B14" s="3" t="s">
        <v>67</v>
      </c>
      <c r="C14" s="2">
        <v>13</v>
      </c>
      <c r="D14" s="2" t="s">
        <v>68</v>
      </c>
      <c r="E14" s="2" t="s">
        <v>26</v>
      </c>
      <c r="F14" s="2">
        <v>1</v>
      </c>
      <c r="G14" s="2" t="s">
        <v>16</v>
      </c>
      <c r="H14" s="2" t="s">
        <v>17</v>
      </c>
      <c r="I14" s="4">
        <v>5</v>
      </c>
      <c r="J14" s="5">
        <v>950</v>
      </c>
      <c r="K14" s="5">
        <v>4750</v>
      </c>
      <c r="L14" s="2">
        <v>1</v>
      </c>
      <c r="M14" s="2" t="s">
        <v>23</v>
      </c>
    </row>
    <row r="15" spans="1:13" x14ac:dyDescent="0.25">
      <c r="A15" s="2">
        <v>14</v>
      </c>
      <c r="B15" s="3" t="s">
        <v>69</v>
      </c>
      <c r="C15" s="2">
        <v>14</v>
      </c>
      <c r="D15" s="2" t="s">
        <v>70</v>
      </c>
      <c r="E15" s="2" t="s">
        <v>71</v>
      </c>
      <c r="F15" s="2">
        <v>4</v>
      </c>
      <c r="G15" s="2" t="s">
        <v>72</v>
      </c>
      <c r="H15" s="2" t="s">
        <v>73</v>
      </c>
      <c r="I15" s="4">
        <v>2</v>
      </c>
      <c r="J15" s="5">
        <v>1499</v>
      </c>
      <c r="K15" s="5">
        <v>2998</v>
      </c>
      <c r="L15" s="2">
        <v>2</v>
      </c>
      <c r="M15" s="2" t="s">
        <v>29</v>
      </c>
    </row>
    <row r="16" spans="1:13" x14ac:dyDescent="0.25">
      <c r="A16" s="2">
        <v>15</v>
      </c>
      <c r="B16" s="3" t="s">
        <v>74</v>
      </c>
      <c r="C16" s="2">
        <v>15</v>
      </c>
      <c r="D16" s="2" t="s">
        <v>75</v>
      </c>
      <c r="E16" s="2" t="s">
        <v>58</v>
      </c>
      <c r="F16" s="2">
        <v>5</v>
      </c>
      <c r="G16" s="2" t="s">
        <v>38</v>
      </c>
      <c r="H16" s="2" t="s">
        <v>17</v>
      </c>
      <c r="I16" s="4">
        <v>3</v>
      </c>
      <c r="J16" s="5">
        <v>3499</v>
      </c>
      <c r="K16" s="5">
        <v>10497</v>
      </c>
      <c r="L16" s="2">
        <v>7</v>
      </c>
      <c r="M16" s="2" t="s">
        <v>23</v>
      </c>
    </row>
    <row r="17" spans="1:13" x14ac:dyDescent="0.25">
      <c r="A17" s="2">
        <v>16</v>
      </c>
      <c r="B17" s="3" t="s">
        <v>76</v>
      </c>
      <c r="C17" s="2">
        <v>16</v>
      </c>
      <c r="D17" s="2" t="s">
        <v>77</v>
      </c>
      <c r="E17" s="2" t="s">
        <v>15</v>
      </c>
      <c r="F17" s="2">
        <v>3</v>
      </c>
      <c r="G17" s="2" t="s">
        <v>33</v>
      </c>
      <c r="H17" s="2" t="s">
        <v>34</v>
      </c>
      <c r="I17" s="4">
        <v>1</v>
      </c>
      <c r="J17" s="5">
        <v>6999</v>
      </c>
      <c r="K17" s="5">
        <v>6999</v>
      </c>
      <c r="L17" s="2">
        <v>3</v>
      </c>
      <c r="M17" s="2" t="s">
        <v>29</v>
      </c>
    </row>
    <row r="18" spans="1:13" x14ac:dyDescent="0.25">
      <c r="A18" s="2">
        <v>17</v>
      </c>
      <c r="B18" s="3" t="s">
        <v>78</v>
      </c>
      <c r="C18" s="2">
        <v>17</v>
      </c>
      <c r="D18" s="2" t="s">
        <v>79</v>
      </c>
      <c r="E18" s="2" t="s">
        <v>80</v>
      </c>
      <c r="F18" s="2">
        <v>12</v>
      </c>
      <c r="G18" s="2" t="s">
        <v>66</v>
      </c>
      <c r="H18" s="2" t="s">
        <v>28</v>
      </c>
      <c r="I18" s="4">
        <v>1</v>
      </c>
      <c r="J18" s="5">
        <v>18999</v>
      </c>
      <c r="K18" s="5">
        <v>18999</v>
      </c>
      <c r="L18" s="2">
        <v>2</v>
      </c>
      <c r="M18" s="2" t="s">
        <v>18</v>
      </c>
    </row>
    <row r="19" spans="1:13" x14ac:dyDescent="0.25">
      <c r="A19" s="2">
        <v>18</v>
      </c>
      <c r="B19" s="3" t="s">
        <v>81</v>
      </c>
      <c r="C19" s="2">
        <v>18</v>
      </c>
      <c r="D19" s="2" t="s">
        <v>82</v>
      </c>
      <c r="E19" s="2" t="s">
        <v>83</v>
      </c>
      <c r="F19" s="2">
        <v>9</v>
      </c>
      <c r="G19" s="2" t="s">
        <v>27</v>
      </c>
      <c r="H19" s="2" t="s">
        <v>28</v>
      </c>
      <c r="I19" s="4">
        <v>4</v>
      </c>
      <c r="J19" s="5">
        <v>5499</v>
      </c>
      <c r="K19" s="5">
        <v>21996</v>
      </c>
      <c r="L19" s="2">
        <v>4</v>
      </c>
      <c r="M19" s="2" t="s">
        <v>23</v>
      </c>
    </row>
    <row r="20" spans="1:13" x14ac:dyDescent="0.25">
      <c r="A20" s="2">
        <v>19</v>
      </c>
      <c r="B20" s="3" t="s">
        <v>84</v>
      </c>
      <c r="C20" s="2">
        <v>1</v>
      </c>
      <c r="D20" s="2" t="s">
        <v>14</v>
      </c>
      <c r="E20" s="2" t="s">
        <v>15</v>
      </c>
      <c r="F20" s="2">
        <v>6</v>
      </c>
      <c r="G20" s="2" t="s">
        <v>45</v>
      </c>
      <c r="H20" s="2" t="s">
        <v>46</v>
      </c>
      <c r="I20" s="4">
        <v>2</v>
      </c>
      <c r="J20" s="5">
        <v>2499</v>
      </c>
      <c r="K20" s="5">
        <v>4998</v>
      </c>
      <c r="L20" s="2">
        <v>5</v>
      </c>
      <c r="M20" s="2" t="s">
        <v>29</v>
      </c>
    </row>
    <row r="21" spans="1:13" x14ac:dyDescent="0.25">
      <c r="A21" s="2">
        <v>20</v>
      </c>
      <c r="B21" s="3" t="s">
        <v>85</v>
      </c>
      <c r="C21" s="2">
        <v>2</v>
      </c>
      <c r="D21" s="2" t="s">
        <v>20</v>
      </c>
      <c r="E21" s="2" t="s">
        <v>21</v>
      </c>
      <c r="F21" s="2">
        <v>7</v>
      </c>
      <c r="G21" s="2" t="s">
        <v>55</v>
      </c>
      <c r="H21" s="2" t="s">
        <v>28</v>
      </c>
      <c r="I21" s="4">
        <v>1</v>
      </c>
      <c r="J21" s="5">
        <v>7999</v>
      </c>
      <c r="K21" s="5">
        <v>7999</v>
      </c>
      <c r="L21" s="2">
        <v>1</v>
      </c>
      <c r="M21" s="2" t="s">
        <v>18</v>
      </c>
    </row>
    <row r="22" spans="1:13" x14ac:dyDescent="0.25">
      <c r="A22" s="2">
        <v>21</v>
      </c>
      <c r="B22" s="3" t="s">
        <v>86</v>
      </c>
      <c r="C22" s="2">
        <v>3</v>
      </c>
      <c r="D22" s="2" t="s">
        <v>25</v>
      </c>
      <c r="E22" s="2" t="s">
        <v>26</v>
      </c>
      <c r="F22" s="2">
        <v>10</v>
      </c>
      <c r="G22" s="2" t="s">
        <v>42</v>
      </c>
      <c r="H22" s="2" t="s">
        <v>17</v>
      </c>
      <c r="I22" s="4">
        <v>3</v>
      </c>
      <c r="J22" s="5">
        <v>3999</v>
      </c>
      <c r="K22" s="5">
        <v>11997</v>
      </c>
      <c r="L22" s="2">
        <v>3</v>
      </c>
      <c r="M22" s="2" t="s">
        <v>23</v>
      </c>
    </row>
    <row r="23" spans="1:13" x14ac:dyDescent="0.25">
      <c r="A23" s="2">
        <v>22</v>
      </c>
      <c r="B23" s="3" t="s">
        <v>87</v>
      </c>
      <c r="C23" s="2">
        <v>4</v>
      </c>
      <c r="D23" s="2" t="s">
        <v>31</v>
      </c>
      <c r="E23" s="2" t="s">
        <v>32</v>
      </c>
      <c r="F23" s="2">
        <v>8</v>
      </c>
      <c r="G23" s="2" t="s">
        <v>50</v>
      </c>
      <c r="H23" s="2" t="s">
        <v>51</v>
      </c>
      <c r="I23" s="4">
        <v>2</v>
      </c>
      <c r="J23" s="5">
        <v>1899</v>
      </c>
      <c r="K23" s="5">
        <v>3798</v>
      </c>
      <c r="L23" s="2">
        <v>7</v>
      </c>
      <c r="M23" s="2" t="s">
        <v>29</v>
      </c>
    </row>
    <row r="24" spans="1:13" x14ac:dyDescent="0.25">
      <c r="A24" s="2">
        <v>23</v>
      </c>
      <c r="B24" s="3" t="s">
        <v>88</v>
      </c>
      <c r="C24" s="2">
        <v>5</v>
      </c>
      <c r="D24" s="2" t="s">
        <v>36</v>
      </c>
      <c r="E24" s="2" t="s">
        <v>37</v>
      </c>
      <c r="F24" s="2">
        <v>12</v>
      </c>
      <c r="G24" s="2" t="s">
        <v>66</v>
      </c>
      <c r="H24" s="2" t="s">
        <v>28</v>
      </c>
      <c r="I24" s="4">
        <v>1</v>
      </c>
      <c r="J24" s="5">
        <v>18999</v>
      </c>
      <c r="K24" s="5">
        <v>18999</v>
      </c>
      <c r="L24" s="2">
        <v>2</v>
      </c>
      <c r="M24" s="2" t="s">
        <v>18</v>
      </c>
    </row>
    <row r="25" spans="1:13" x14ac:dyDescent="0.25">
      <c r="A25" s="2">
        <v>24</v>
      </c>
      <c r="B25" s="3" t="s">
        <v>89</v>
      </c>
      <c r="C25" s="2">
        <v>6</v>
      </c>
      <c r="D25" s="2" t="s">
        <v>40</v>
      </c>
      <c r="E25" s="2" t="s">
        <v>41</v>
      </c>
      <c r="F25" s="2">
        <v>2</v>
      </c>
      <c r="G25" s="2" t="s">
        <v>22</v>
      </c>
      <c r="H25" s="2" t="s">
        <v>17</v>
      </c>
      <c r="I25" s="4">
        <v>2</v>
      </c>
      <c r="J25" s="5">
        <v>28999</v>
      </c>
      <c r="K25" s="5">
        <v>57998</v>
      </c>
      <c r="L25" s="2">
        <v>5</v>
      </c>
      <c r="M25" s="2" t="s">
        <v>23</v>
      </c>
    </row>
    <row r="26" spans="1:13" x14ac:dyDescent="0.25">
      <c r="A26" s="2">
        <v>25</v>
      </c>
      <c r="B26" s="3" t="s">
        <v>90</v>
      </c>
      <c r="C26" s="2">
        <v>7</v>
      </c>
      <c r="D26" s="2" t="s">
        <v>44</v>
      </c>
      <c r="E26" s="2" t="s">
        <v>15</v>
      </c>
      <c r="F26" s="2">
        <v>4</v>
      </c>
      <c r="G26" s="2" t="s">
        <v>72</v>
      </c>
      <c r="H26" s="2" t="s">
        <v>73</v>
      </c>
      <c r="I26" s="4">
        <v>4</v>
      </c>
      <c r="J26" s="5">
        <v>1499</v>
      </c>
      <c r="K26" s="5">
        <v>5996</v>
      </c>
      <c r="L26" s="2">
        <v>1</v>
      </c>
      <c r="M26" s="2" t="s">
        <v>29</v>
      </c>
    </row>
    <row r="27" spans="1:13" x14ac:dyDescent="0.25">
      <c r="A27" s="2">
        <v>26</v>
      </c>
      <c r="B27" s="3" t="s">
        <v>91</v>
      </c>
      <c r="C27" s="2">
        <v>8</v>
      </c>
      <c r="D27" s="2" t="s">
        <v>48</v>
      </c>
      <c r="E27" s="2" t="s">
        <v>49</v>
      </c>
      <c r="F27" s="2">
        <v>5</v>
      </c>
      <c r="G27" s="2" t="s">
        <v>38</v>
      </c>
      <c r="H27" s="2" t="s">
        <v>17</v>
      </c>
      <c r="I27" s="4">
        <v>3</v>
      </c>
      <c r="J27" s="5">
        <v>3499</v>
      </c>
      <c r="K27" s="5">
        <v>10497</v>
      </c>
      <c r="L27" s="2">
        <v>6</v>
      </c>
      <c r="M27" s="2" t="s">
        <v>18</v>
      </c>
    </row>
    <row r="28" spans="1:13" x14ac:dyDescent="0.25">
      <c r="A28" s="2">
        <v>27</v>
      </c>
      <c r="B28" s="3" t="s">
        <v>92</v>
      </c>
      <c r="C28" s="2">
        <v>9</v>
      </c>
      <c r="D28" s="2" t="s">
        <v>53</v>
      </c>
      <c r="E28" s="2" t="s">
        <v>54</v>
      </c>
      <c r="F28" s="2">
        <v>11</v>
      </c>
      <c r="G28" s="2" t="s">
        <v>62</v>
      </c>
      <c r="H28" s="2" t="s">
        <v>51</v>
      </c>
      <c r="I28" s="4">
        <v>2</v>
      </c>
      <c r="J28" s="5">
        <v>1250</v>
      </c>
      <c r="K28" s="5">
        <v>2500</v>
      </c>
      <c r="L28" s="2">
        <v>4</v>
      </c>
      <c r="M28" s="2" t="s">
        <v>23</v>
      </c>
    </row>
    <row r="29" spans="1:13" x14ac:dyDescent="0.25">
      <c r="A29" s="2">
        <v>28</v>
      </c>
      <c r="B29" s="3" t="s">
        <v>93</v>
      </c>
      <c r="C29" s="2">
        <v>10</v>
      </c>
      <c r="D29" s="2" t="s">
        <v>57</v>
      </c>
      <c r="E29" s="2" t="s">
        <v>58</v>
      </c>
      <c r="F29" s="2">
        <v>1</v>
      </c>
      <c r="G29" s="2" t="s">
        <v>16</v>
      </c>
      <c r="H29" s="2" t="s">
        <v>17</v>
      </c>
      <c r="I29" s="4">
        <v>6</v>
      </c>
      <c r="J29" s="5">
        <v>950</v>
      </c>
      <c r="K29" s="5">
        <v>5700</v>
      </c>
      <c r="L29" s="2">
        <v>7</v>
      </c>
      <c r="M29" s="2" t="s">
        <v>29</v>
      </c>
    </row>
    <row r="30" spans="1:13" x14ac:dyDescent="0.25">
      <c r="A30" s="2">
        <v>29</v>
      </c>
      <c r="B30" s="3" t="s">
        <v>94</v>
      </c>
      <c r="C30" s="2">
        <v>11</v>
      </c>
      <c r="D30" s="2" t="s">
        <v>60</v>
      </c>
      <c r="E30" s="2" t="s">
        <v>61</v>
      </c>
      <c r="F30" s="2">
        <v>9</v>
      </c>
      <c r="G30" s="2" t="s">
        <v>27</v>
      </c>
      <c r="H30" s="2" t="s">
        <v>28</v>
      </c>
      <c r="I30" s="4">
        <v>1</v>
      </c>
      <c r="J30" s="5">
        <v>5499</v>
      </c>
      <c r="K30" s="5">
        <v>5499</v>
      </c>
      <c r="L30" s="2">
        <v>2</v>
      </c>
      <c r="M30" s="2" t="s">
        <v>18</v>
      </c>
    </row>
    <row r="31" spans="1:13" x14ac:dyDescent="0.25">
      <c r="A31" s="2">
        <v>30</v>
      </c>
      <c r="B31" s="3" t="s">
        <v>95</v>
      </c>
      <c r="C31" s="2">
        <v>12</v>
      </c>
      <c r="D31" s="2" t="s">
        <v>64</v>
      </c>
      <c r="E31" s="2" t="s">
        <v>65</v>
      </c>
      <c r="F31" s="2">
        <v>6</v>
      </c>
      <c r="G31" s="2" t="s">
        <v>45</v>
      </c>
      <c r="H31" s="2" t="s">
        <v>46</v>
      </c>
      <c r="I31" s="4">
        <v>2</v>
      </c>
      <c r="J31" s="5">
        <v>2499</v>
      </c>
      <c r="K31" s="5">
        <v>4998</v>
      </c>
      <c r="L31" s="2">
        <v>3</v>
      </c>
      <c r="M31" s="2" t="s">
        <v>23</v>
      </c>
    </row>
    <row r="32" spans="1:13" x14ac:dyDescent="0.25">
      <c r="A32" s="2">
        <v>31</v>
      </c>
      <c r="B32" s="3" t="s">
        <v>96</v>
      </c>
      <c r="C32" s="2">
        <v>13</v>
      </c>
      <c r="D32" s="2" t="s">
        <v>68</v>
      </c>
      <c r="E32" s="2" t="s">
        <v>26</v>
      </c>
      <c r="F32" s="2">
        <v>8</v>
      </c>
      <c r="G32" s="2" t="s">
        <v>50</v>
      </c>
      <c r="H32" s="2" t="s">
        <v>51</v>
      </c>
      <c r="I32" s="4">
        <v>2</v>
      </c>
      <c r="J32" s="5">
        <v>1899</v>
      </c>
      <c r="K32" s="5">
        <v>3798</v>
      </c>
      <c r="L32" s="2">
        <v>5</v>
      </c>
      <c r="M32" s="2" t="s">
        <v>29</v>
      </c>
    </row>
    <row r="33" spans="1:13" x14ac:dyDescent="0.25">
      <c r="A33" s="2">
        <v>32</v>
      </c>
      <c r="B33" s="3" t="s">
        <v>97</v>
      </c>
      <c r="C33" s="2">
        <v>14</v>
      </c>
      <c r="D33" s="2" t="s">
        <v>70</v>
      </c>
      <c r="E33" s="2" t="s">
        <v>71</v>
      </c>
      <c r="F33" s="2">
        <v>3</v>
      </c>
      <c r="G33" s="2" t="s">
        <v>33</v>
      </c>
      <c r="H33" s="2" t="s">
        <v>34</v>
      </c>
      <c r="I33" s="4">
        <v>3</v>
      </c>
      <c r="J33" s="5">
        <v>6999</v>
      </c>
      <c r="K33" s="5">
        <v>20997</v>
      </c>
      <c r="L33" s="2">
        <v>1</v>
      </c>
      <c r="M33" s="2" t="s">
        <v>18</v>
      </c>
    </row>
    <row r="34" spans="1:13" x14ac:dyDescent="0.25">
      <c r="A34" s="2">
        <v>33</v>
      </c>
      <c r="B34" s="3" t="s">
        <v>98</v>
      </c>
      <c r="C34" s="2">
        <v>15</v>
      </c>
      <c r="D34" s="2" t="s">
        <v>75</v>
      </c>
      <c r="E34" s="2" t="s">
        <v>58</v>
      </c>
      <c r="F34" s="2">
        <v>10</v>
      </c>
      <c r="G34" s="2" t="s">
        <v>42</v>
      </c>
      <c r="H34" s="2" t="s">
        <v>17</v>
      </c>
      <c r="I34" s="4">
        <v>4</v>
      </c>
      <c r="J34" s="5">
        <v>3999</v>
      </c>
      <c r="K34" s="5">
        <v>15996</v>
      </c>
      <c r="L34" s="2">
        <v>6</v>
      </c>
      <c r="M34" s="2" t="s">
        <v>23</v>
      </c>
    </row>
    <row r="35" spans="1:13" x14ac:dyDescent="0.25">
      <c r="A35" s="2">
        <v>34</v>
      </c>
      <c r="B35" s="3" t="s">
        <v>99</v>
      </c>
      <c r="C35" s="2">
        <v>16</v>
      </c>
      <c r="D35" s="2" t="s">
        <v>77</v>
      </c>
      <c r="E35" s="2" t="s">
        <v>15</v>
      </c>
      <c r="F35" s="2">
        <v>4</v>
      </c>
      <c r="G35" s="2" t="s">
        <v>72</v>
      </c>
      <c r="H35" s="2" t="s">
        <v>73</v>
      </c>
      <c r="I35" s="4">
        <v>1</v>
      </c>
      <c r="J35" s="5">
        <v>1499</v>
      </c>
      <c r="K35" s="5">
        <v>1499</v>
      </c>
      <c r="L35" s="2">
        <v>7</v>
      </c>
      <c r="M35" s="2" t="s">
        <v>29</v>
      </c>
    </row>
    <row r="36" spans="1:13" x14ac:dyDescent="0.25">
      <c r="A36" s="2">
        <v>35</v>
      </c>
      <c r="B36" s="3" t="s">
        <v>100</v>
      </c>
      <c r="C36" s="2">
        <v>17</v>
      </c>
      <c r="D36" s="2" t="s">
        <v>79</v>
      </c>
      <c r="E36" s="2" t="s">
        <v>80</v>
      </c>
      <c r="F36" s="2">
        <v>5</v>
      </c>
      <c r="G36" s="2" t="s">
        <v>38</v>
      </c>
      <c r="H36" s="2" t="s">
        <v>17</v>
      </c>
      <c r="I36" s="4">
        <v>2</v>
      </c>
      <c r="J36" s="5">
        <v>3499</v>
      </c>
      <c r="K36" s="5">
        <v>6998</v>
      </c>
      <c r="L36" s="2">
        <v>2</v>
      </c>
      <c r="M36" s="2" t="s">
        <v>18</v>
      </c>
    </row>
    <row r="37" spans="1:13" x14ac:dyDescent="0.25">
      <c r="A37" s="2">
        <v>36</v>
      </c>
      <c r="B37" s="3" t="s">
        <v>101</v>
      </c>
      <c r="C37" s="2">
        <v>18</v>
      </c>
      <c r="D37" s="2" t="s">
        <v>82</v>
      </c>
      <c r="E37" s="2" t="s">
        <v>83</v>
      </c>
      <c r="F37" s="2">
        <v>12</v>
      </c>
      <c r="G37" s="2" t="s">
        <v>66</v>
      </c>
      <c r="H37" s="2" t="s">
        <v>28</v>
      </c>
      <c r="I37" s="4">
        <v>1</v>
      </c>
      <c r="J37" s="5">
        <v>18999</v>
      </c>
      <c r="K37" s="5">
        <v>18999</v>
      </c>
      <c r="L37" s="2">
        <v>4</v>
      </c>
      <c r="M37" s="2" t="s">
        <v>23</v>
      </c>
    </row>
    <row r="38" spans="1:13" x14ac:dyDescent="0.25">
      <c r="A38" s="2">
        <v>37</v>
      </c>
      <c r="B38" s="3" t="s">
        <v>102</v>
      </c>
      <c r="C38" s="2">
        <v>1</v>
      </c>
      <c r="D38" s="2" t="s">
        <v>14</v>
      </c>
      <c r="E38" s="2" t="s">
        <v>15</v>
      </c>
      <c r="F38" s="2">
        <v>7</v>
      </c>
      <c r="G38" s="2" t="s">
        <v>55</v>
      </c>
      <c r="H38" s="2" t="s">
        <v>28</v>
      </c>
      <c r="I38" s="4">
        <v>2</v>
      </c>
      <c r="J38" s="5">
        <v>7999</v>
      </c>
      <c r="K38" s="5">
        <v>15998</v>
      </c>
      <c r="L38" s="2">
        <v>5</v>
      </c>
      <c r="M38" s="2" t="s">
        <v>29</v>
      </c>
    </row>
    <row r="39" spans="1:13" x14ac:dyDescent="0.25">
      <c r="A39" s="2">
        <v>38</v>
      </c>
      <c r="B39" s="3" t="s">
        <v>103</v>
      </c>
      <c r="C39" s="2">
        <v>2</v>
      </c>
      <c r="D39" s="2" t="s">
        <v>20</v>
      </c>
      <c r="E39" s="2" t="s">
        <v>21</v>
      </c>
      <c r="F39" s="2">
        <v>2</v>
      </c>
      <c r="G39" s="2" t="s">
        <v>22</v>
      </c>
      <c r="H39" s="2" t="s">
        <v>17</v>
      </c>
      <c r="I39" s="4">
        <v>1</v>
      </c>
      <c r="J39" s="5">
        <v>28999</v>
      </c>
      <c r="K39" s="5">
        <v>28999</v>
      </c>
      <c r="L39" s="2">
        <v>3</v>
      </c>
      <c r="M39" s="2" t="s">
        <v>18</v>
      </c>
    </row>
    <row r="40" spans="1:13" x14ac:dyDescent="0.25">
      <c r="A40" s="2">
        <v>39</v>
      </c>
      <c r="B40" s="3" t="s">
        <v>104</v>
      </c>
      <c r="C40" s="2">
        <v>3</v>
      </c>
      <c r="D40" s="2" t="s">
        <v>25</v>
      </c>
      <c r="E40" s="2" t="s">
        <v>26</v>
      </c>
      <c r="F40" s="2">
        <v>11</v>
      </c>
      <c r="G40" s="2" t="s">
        <v>62</v>
      </c>
      <c r="H40" s="2" t="s">
        <v>51</v>
      </c>
      <c r="I40" s="4">
        <v>3</v>
      </c>
      <c r="J40" s="5">
        <v>1250</v>
      </c>
      <c r="K40" s="5">
        <v>3750</v>
      </c>
      <c r="L40" s="2">
        <v>1</v>
      </c>
      <c r="M40" s="2" t="s">
        <v>23</v>
      </c>
    </row>
    <row r="41" spans="1:13" x14ac:dyDescent="0.25">
      <c r="A41" s="2">
        <v>40</v>
      </c>
      <c r="B41" s="3" t="s">
        <v>105</v>
      </c>
      <c r="C41" s="2">
        <v>4</v>
      </c>
      <c r="D41" s="2" t="s">
        <v>31</v>
      </c>
      <c r="E41" s="2" t="s">
        <v>32</v>
      </c>
      <c r="F41" s="2">
        <v>9</v>
      </c>
      <c r="G41" s="2" t="s">
        <v>27</v>
      </c>
      <c r="H41" s="2" t="s">
        <v>28</v>
      </c>
      <c r="I41" s="4">
        <v>2</v>
      </c>
      <c r="J41" s="5">
        <v>5499</v>
      </c>
      <c r="K41" s="5">
        <v>10998</v>
      </c>
      <c r="L41" s="2">
        <v>6</v>
      </c>
      <c r="M41" s="2" t="s">
        <v>29</v>
      </c>
    </row>
    <row r="42" spans="1:13" x14ac:dyDescent="0.25">
      <c r="A42" s="2">
        <v>41</v>
      </c>
      <c r="B42" s="3" t="s">
        <v>106</v>
      </c>
      <c r="C42" s="2">
        <v>5</v>
      </c>
      <c r="D42" s="2" t="s">
        <v>36</v>
      </c>
      <c r="E42" s="2" t="s">
        <v>37</v>
      </c>
      <c r="F42" s="2">
        <v>6</v>
      </c>
      <c r="G42" s="2" t="s">
        <v>45</v>
      </c>
      <c r="H42" s="2" t="s">
        <v>46</v>
      </c>
      <c r="I42" s="4">
        <v>3</v>
      </c>
      <c r="J42" s="5">
        <v>2499</v>
      </c>
      <c r="K42" s="5">
        <v>7497</v>
      </c>
      <c r="L42" s="2">
        <v>4</v>
      </c>
      <c r="M42" s="2" t="s">
        <v>18</v>
      </c>
    </row>
    <row r="43" spans="1:13" x14ac:dyDescent="0.25">
      <c r="A43" s="2">
        <v>42</v>
      </c>
      <c r="B43" s="3" t="s">
        <v>107</v>
      </c>
      <c r="C43" s="2">
        <v>6</v>
      </c>
      <c r="D43" s="2" t="s">
        <v>40</v>
      </c>
      <c r="E43" s="2" t="s">
        <v>41</v>
      </c>
      <c r="F43" s="2">
        <v>8</v>
      </c>
      <c r="G43" s="2" t="s">
        <v>50</v>
      </c>
      <c r="H43" s="2" t="s">
        <v>51</v>
      </c>
      <c r="I43" s="4">
        <v>4</v>
      </c>
      <c r="J43" s="5">
        <v>1899</v>
      </c>
      <c r="K43" s="5">
        <v>7596</v>
      </c>
      <c r="L43" s="2">
        <v>7</v>
      </c>
      <c r="M43" s="2" t="s">
        <v>23</v>
      </c>
    </row>
  </sheetData>
  <autoFilter ref="A1:M4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9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5" x14ac:dyDescent="0.25">
      <c r="A1" s="1" t="s">
        <v>2</v>
      </c>
      <c r="B1" s="1" t="s">
        <v>3</v>
      </c>
      <c r="C1" s="1" t="s">
        <v>4</v>
      </c>
      <c r="D1" s="1" t="s">
        <v>108</v>
      </c>
      <c r="E1" s="1" t="s">
        <v>109</v>
      </c>
    </row>
    <row r="2" spans="1:5" x14ac:dyDescent="0.25">
      <c r="A2" s="6">
        <v>1</v>
      </c>
      <c r="B2" s="6" t="s">
        <v>14</v>
      </c>
      <c r="C2" s="6" t="s">
        <v>15</v>
      </c>
      <c r="D2" s="6" t="s">
        <v>110</v>
      </c>
      <c r="E2" s="6" t="s">
        <v>111</v>
      </c>
    </row>
    <row r="3" spans="1:5" x14ac:dyDescent="0.25">
      <c r="A3" s="6">
        <v>2</v>
      </c>
      <c r="B3" s="6" t="s">
        <v>20</v>
      </c>
      <c r="C3" s="6" t="s">
        <v>21</v>
      </c>
      <c r="D3" s="6" t="s">
        <v>112</v>
      </c>
      <c r="E3" s="6" t="s">
        <v>113</v>
      </c>
    </row>
    <row r="4" spans="1:5" x14ac:dyDescent="0.25">
      <c r="A4" s="6">
        <v>3</v>
      </c>
      <c r="B4" s="6" t="s">
        <v>25</v>
      </c>
      <c r="C4" s="6" t="s">
        <v>26</v>
      </c>
      <c r="D4" s="6" t="s">
        <v>114</v>
      </c>
      <c r="E4" s="6" t="s">
        <v>111</v>
      </c>
    </row>
    <row r="5" spans="1:5" x14ac:dyDescent="0.25">
      <c r="A5" s="6">
        <v>4</v>
      </c>
      <c r="B5" s="6" t="s">
        <v>31</v>
      </c>
      <c r="C5" s="6" t="s">
        <v>32</v>
      </c>
      <c r="D5" s="6" t="s">
        <v>115</v>
      </c>
      <c r="E5" s="6" t="s">
        <v>111</v>
      </c>
    </row>
    <row r="6" spans="1:5" x14ac:dyDescent="0.25">
      <c r="A6" s="6">
        <v>5</v>
      </c>
      <c r="B6" s="6" t="s">
        <v>36</v>
      </c>
      <c r="C6" s="6" t="s">
        <v>37</v>
      </c>
      <c r="D6" s="6" t="s">
        <v>116</v>
      </c>
      <c r="E6" s="6" t="s">
        <v>117</v>
      </c>
    </row>
    <row r="7" spans="1:5" x14ac:dyDescent="0.25">
      <c r="A7" s="6">
        <v>6</v>
      </c>
      <c r="B7" s="6" t="s">
        <v>40</v>
      </c>
      <c r="C7" s="6" t="s">
        <v>41</v>
      </c>
      <c r="D7" s="6" t="s">
        <v>118</v>
      </c>
      <c r="E7" s="6" t="s">
        <v>111</v>
      </c>
    </row>
    <row r="8" spans="1:5" x14ac:dyDescent="0.25">
      <c r="A8" s="6">
        <v>7</v>
      </c>
      <c r="B8" s="6" t="s">
        <v>44</v>
      </c>
      <c r="C8" s="6" t="s">
        <v>15</v>
      </c>
      <c r="D8" s="6" t="s">
        <v>119</v>
      </c>
      <c r="E8" s="6" t="s">
        <v>117</v>
      </c>
    </row>
    <row r="9" spans="1:5" x14ac:dyDescent="0.25">
      <c r="A9" s="6">
        <v>8</v>
      </c>
      <c r="B9" s="6" t="s">
        <v>48</v>
      </c>
      <c r="C9" s="6" t="s">
        <v>49</v>
      </c>
      <c r="D9" s="6" t="s">
        <v>120</v>
      </c>
      <c r="E9" s="6" t="s">
        <v>111</v>
      </c>
    </row>
    <row r="10" spans="1:5" x14ac:dyDescent="0.25">
      <c r="A10" s="6">
        <v>9</v>
      </c>
      <c r="B10" s="6" t="s">
        <v>53</v>
      </c>
      <c r="C10" s="6" t="s">
        <v>54</v>
      </c>
      <c r="D10" s="6" t="s">
        <v>121</v>
      </c>
      <c r="E10" s="6" t="s">
        <v>113</v>
      </c>
    </row>
    <row r="11" spans="1:5" x14ac:dyDescent="0.25">
      <c r="A11" s="6">
        <v>10</v>
      </c>
      <c r="B11" s="6" t="s">
        <v>57</v>
      </c>
      <c r="C11" s="6" t="s">
        <v>58</v>
      </c>
      <c r="D11" s="6" t="s">
        <v>122</v>
      </c>
      <c r="E11" s="6" t="s">
        <v>111</v>
      </c>
    </row>
    <row r="12" spans="1:5" x14ac:dyDescent="0.25">
      <c r="A12" s="6">
        <v>11</v>
      </c>
      <c r="B12" s="6" t="s">
        <v>60</v>
      </c>
      <c r="C12" s="6" t="s">
        <v>61</v>
      </c>
      <c r="D12" s="6" t="s">
        <v>123</v>
      </c>
      <c r="E12" s="6" t="s">
        <v>111</v>
      </c>
    </row>
    <row r="13" spans="1:5" x14ac:dyDescent="0.25">
      <c r="A13" s="6">
        <v>12</v>
      </c>
      <c r="B13" s="6" t="s">
        <v>64</v>
      </c>
      <c r="C13" s="6" t="s">
        <v>65</v>
      </c>
      <c r="D13" s="6" t="s">
        <v>124</v>
      </c>
      <c r="E13" s="6" t="s">
        <v>117</v>
      </c>
    </row>
    <row r="14" spans="1:5" x14ac:dyDescent="0.25">
      <c r="A14" s="6">
        <v>13</v>
      </c>
      <c r="B14" s="6" t="s">
        <v>68</v>
      </c>
      <c r="C14" s="6" t="s">
        <v>26</v>
      </c>
      <c r="D14" s="6" t="s">
        <v>125</v>
      </c>
      <c r="E14" s="6" t="s">
        <v>111</v>
      </c>
    </row>
    <row r="15" spans="1:5" x14ac:dyDescent="0.25">
      <c r="A15" s="6">
        <v>14</v>
      </c>
      <c r="B15" s="6" t="s">
        <v>70</v>
      </c>
      <c r="C15" s="6" t="s">
        <v>71</v>
      </c>
      <c r="D15" s="6" t="s">
        <v>126</v>
      </c>
      <c r="E15" s="6" t="s">
        <v>111</v>
      </c>
    </row>
    <row r="16" spans="1:5" x14ac:dyDescent="0.25">
      <c r="A16" s="6">
        <v>15</v>
      </c>
      <c r="B16" s="6" t="s">
        <v>75</v>
      </c>
      <c r="C16" s="6" t="s">
        <v>58</v>
      </c>
      <c r="D16" s="6" t="s">
        <v>127</v>
      </c>
      <c r="E16" s="6" t="s">
        <v>113</v>
      </c>
    </row>
    <row r="17" spans="1:5" x14ac:dyDescent="0.25">
      <c r="A17" s="6">
        <v>16</v>
      </c>
      <c r="B17" s="6" t="s">
        <v>77</v>
      </c>
      <c r="C17" s="6" t="s">
        <v>15</v>
      </c>
      <c r="D17" s="6" t="s">
        <v>128</v>
      </c>
      <c r="E17" s="6" t="s">
        <v>117</v>
      </c>
    </row>
    <row r="18" spans="1:5" x14ac:dyDescent="0.25">
      <c r="A18" s="6">
        <v>17</v>
      </c>
      <c r="B18" s="6" t="s">
        <v>79</v>
      </c>
      <c r="C18" s="6" t="s">
        <v>80</v>
      </c>
      <c r="D18" s="6" t="s">
        <v>129</v>
      </c>
      <c r="E18" s="6" t="s">
        <v>111</v>
      </c>
    </row>
    <row r="19" spans="1:5" x14ac:dyDescent="0.25">
      <c r="A19" s="6">
        <v>18</v>
      </c>
      <c r="B19" s="6" t="s">
        <v>82</v>
      </c>
      <c r="C19" s="6" t="s">
        <v>83</v>
      </c>
      <c r="D19" s="6" t="s">
        <v>130</v>
      </c>
      <c r="E19" s="6" t="s">
        <v>111</v>
      </c>
    </row>
  </sheetData>
  <autoFilter ref="A1:E19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5" x14ac:dyDescent="0.25">
      <c r="A1" s="1" t="s">
        <v>5</v>
      </c>
      <c r="B1" s="1" t="s">
        <v>6</v>
      </c>
      <c r="C1" s="1" t="s">
        <v>7</v>
      </c>
      <c r="D1" s="1" t="s">
        <v>9</v>
      </c>
      <c r="E1" s="1" t="s">
        <v>131</v>
      </c>
    </row>
    <row r="2" spans="1:5" x14ac:dyDescent="0.25">
      <c r="A2" s="6">
        <v>1</v>
      </c>
      <c r="B2" s="6" t="s">
        <v>16</v>
      </c>
      <c r="C2" s="6" t="s">
        <v>17</v>
      </c>
      <c r="D2" s="6">
        <v>950</v>
      </c>
      <c r="E2" s="6">
        <v>120</v>
      </c>
    </row>
    <row r="3" spans="1:5" x14ac:dyDescent="0.25">
      <c r="A3" s="6">
        <v>2</v>
      </c>
      <c r="B3" s="6" t="s">
        <v>22</v>
      </c>
      <c r="C3" s="6" t="s">
        <v>17</v>
      </c>
      <c r="D3" s="6">
        <v>28999</v>
      </c>
      <c r="E3" s="6">
        <v>18</v>
      </c>
    </row>
    <row r="4" spans="1:5" x14ac:dyDescent="0.25">
      <c r="A4" s="6">
        <v>3</v>
      </c>
      <c r="B4" s="6" t="s">
        <v>33</v>
      </c>
      <c r="C4" s="6" t="s">
        <v>34</v>
      </c>
      <c r="D4" s="6">
        <v>6999</v>
      </c>
      <c r="E4" s="6">
        <v>42</v>
      </c>
    </row>
    <row r="5" spans="1:5" x14ac:dyDescent="0.25">
      <c r="A5" s="6">
        <v>4</v>
      </c>
      <c r="B5" s="6" t="s">
        <v>72</v>
      </c>
      <c r="C5" s="6" t="s">
        <v>73</v>
      </c>
      <c r="D5" s="6">
        <v>1499</v>
      </c>
      <c r="E5" s="6">
        <v>85</v>
      </c>
    </row>
    <row r="6" spans="1:5" x14ac:dyDescent="0.25">
      <c r="A6" s="6">
        <v>5</v>
      </c>
      <c r="B6" s="6" t="s">
        <v>38</v>
      </c>
      <c r="C6" s="6" t="s">
        <v>17</v>
      </c>
      <c r="D6" s="6">
        <v>3499</v>
      </c>
      <c r="E6" s="6">
        <v>70</v>
      </c>
    </row>
    <row r="7" spans="1:5" x14ac:dyDescent="0.25">
      <c r="A7" s="6">
        <v>6</v>
      </c>
      <c r="B7" s="6" t="s">
        <v>45</v>
      </c>
      <c r="C7" s="6" t="s">
        <v>46</v>
      </c>
      <c r="D7" s="6">
        <v>2499</v>
      </c>
      <c r="E7" s="6">
        <v>90</v>
      </c>
    </row>
    <row r="8" spans="1:5" x14ac:dyDescent="0.25">
      <c r="A8" s="6">
        <v>7</v>
      </c>
      <c r="B8" s="6" t="s">
        <v>55</v>
      </c>
      <c r="C8" s="6" t="s">
        <v>28</v>
      </c>
      <c r="D8" s="6">
        <v>7999</v>
      </c>
      <c r="E8" s="6">
        <v>28</v>
      </c>
    </row>
    <row r="9" spans="1:5" x14ac:dyDescent="0.25">
      <c r="A9" s="6">
        <v>8</v>
      </c>
      <c r="B9" s="6" t="s">
        <v>50</v>
      </c>
      <c r="C9" s="6" t="s">
        <v>51</v>
      </c>
      <c r="D9" s="6">
        <v>1899</v>
      </c>
      <c r="E9" s="6">
        <v>76</v>
      </c>
    </row>
    <row r="10" spans="1:5" x14ac:dyDescent="0.25">
      <c r="A10" s="6">
        <v>9</v>
      </c>
      <c r="B10" s="6" t="s">
        <v>27</v>
      </c>
      <c r="C10" s="6" t="s">
        <v>28</v>
      </c>
      <c r="D10" s="6">
        <v>5499</v>
      </c>
      <c r="E10" s="6">
        <v>22</v>
      </c>
    </row>
    <row r="11" spans="1:5" x14ac:dyDescent="0.25">
      <c r="A11" s="6">
        <v>10</v>
      </c>
      <c r="B11" s="6" t="s">
        <v>42</v>
      </c>
      <c r="C11" s="6" t="s">
        <v>17</v>
      </c>
      <c r="D11" s="6">
        <v>3999</v>
      </c>
      <c r="E11" s="6">
        <v>55</v>
      </c>
    </row>
    <row r="12" spans="1:5" x14ac:dyDescent="0.25">
      <c r="A12" s="6">
        <v>11</v>
      </c>
      <c r="B12" s="6" t="s">
        <v>62</v>
      </c>
      <c r="C12" s="6" t="s">
        <v>51</v>
      </c>
      <c r="D12" s="6">
        <v>1250</v>
      </c>
      <c r="E12" s="6">
        <v>110</v>
      </c>
    </row>
    <row r="13" spans="1:5" x14ac:dyDescent="0.25">
      <c r="A13" s="6">
        <v>12</v>
      </c>
      <c r="B13" s="6" t="s">
        <v>66</v>
      </c>
      <c r="C13" s="6" t="s">
        <v>28</v>
      </c>
      <c r="D13" s="6">
        <v>18999</v>
      </c>
      <c r="E13" s="6">
        <v>15</v>
      </c>
    </row>
  </sheetData>
  <autoFilter ref="A1:E13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4" x14ac:dyDescent="0.25">
      <c r="A1" s="1" t="s">
        <v>11</v>
      </c>
      <c r="B1" s="1" t="s">
        <v>132</v>
      </c>
      <c r="C1" s="1" t="s">
        <v>133</v>
      </c>
      <c r="D1" s="1" t="s">
        <v>134</v>
      </c>
    </row>
    <row r="2" spans="1:4" x14ac:dyDescent="0.25">
      <c r="A2" s="6">
        <v>1</v>
      </c>
      <c r="B2" s="6" t="s">
        <v>25</v>
      </c>
      <c r="C2" s="6" t="s">
        <v>135</v>
      </c>
      <c r="D2" s="6">
        <v>45000</v>
      </c>
    </row>
    <row r="3" spans="1:4" x14ac:dyDescent="0.25">
      <c r="A3" s="6">
        <v>2</v>
      </c>
      <c r="B3" s="6" t="s">
        <v>136</v>
      </c>
      <c r="C3" s="6" t="s">
        <v>135</v>
      </c>
      <c r="D3" s="6">
        <v>48000</v>
      </c>
    </row>
    <row r="4" spans="1:4" x14ac:dyDescent="0.25">
      <c r="A4" s="6">
        <v>3</v>
      </c>
      <c r="B4" s="6" t="s">
        <v>137</v>
      </c>
      <c r="C4" s="6" t="s">
        <v>138</v>
      </c>
      <c r="D4" s="6">
        <v>52000</v>
      </c>
    </row>
    <row r="5" spans="1:4" x14ac:dyDescent="0.25">
      <c r="A5" s="6">
        <v>4</v>
      </c>
      <c r="B5" s="6" t="s">
        <v>139</v>
      </c>
      <c r="C5" s="6" t="s">
        <v>140</v>
      </c>
      <c r="D5" s="6">
        <v>43000</v>
      </c>
    </row>
    <row r="6" spans="1:4" x14ac:dyDescent="0.25">
      <c r="A6" s="6">
        <v>5</v>
      </c>
      <c r="B6" s="6" t="s">
        <v>141</v>
      </c>
      <c r="C6" s="6" t="s">
        <v>135</v>
      </c>
      <c r="D6" s="6">
        <v>47000</v>
      </c>
    </row>
    <row r="7" spans="1:4" x14ac:dyDescent="0.25">
      <c r="A7" s="6">
        <v>6</v>
      </c>
      <c r="B7" s="6" t="s">
        <v>142</v>
      </c>
      <c r="C7" s="6" t="s">
        <v>143</v>
      </c>
      <c r="D7" s="6">
        <v>41000</v>
      </c>
    </row>
    <row r="8" spans="1:4" x14ac:dyDescent="0.25">
      <c r="A8" s="6">
        <v>7</v>
      </c>
      <c r="B8" s="6" t="s">
        <v>144</v>
      </c>
      <c r="C8" s="6" t="s">
        <v>135</v>
      </c>
      <c r="D8" s="6">
        <v>49500</v>
      </c>
    </row>
  </sheetData>
  <autoFilter ref="A1:D8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1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2" x14ac:dyDescent="0.25">
      <c r="A1" s="1" t="s">
        <v>145</v>
      </c>
      <c r="B1" s="1" t="s">
        <v>146</v>
      </c>
    </row>
    <row r="2" spans="1:2" x14ac:dyDescent="0.25">
      <c r="A2" s="6" t="s">
        <v>147</v>
      </c>
      <c r="B2" s="6">
        <f>SUM(Sales_Data!$K$2:$K$43)</f>
        <v>509623</v>
      </c>
    </row>
    <row r="3" spans="1:2" x14ac:dyDescent="0.25">
      <c r="A3" s="6" t="s">
        <v>148</v>
      </c>
      <c r="B3" s="6">
        <f>AVERAGE(Sales_Data!$K$2:$K$43)</f>
        <v>12133.880952380952</v>
      </c>
    </row>
    <row r="4" spans="1:2" x14ac:dyDescent="0.25">
      <c r="A4" s="6" t="s">
        <v>149</v>
      </c>
      <c r="B4" s="6">
        <f>MAX(Sales_Data!$K$2:$K$43)</f>
        <v>57998</v>
      </c>
    </row>
    <row r="5" spans="1:2" x14ac:dyDescent="0.25">
      <c r="A5" s="6" t="s">
        <v>150</v>
      </c>
      <c r="B5" s="6">
        <f>MIN(Sales_Data!$K$2:$K$43)</f>
        <v>1499</v>
      </c>
    </row>
    <row r="6" spans="1:2" x14ac:dyDescent="0.25">
      <c r="A6" s="6" t="s">
        <v>151</v>
      </c>
      <c r="B6" s="6">
        <f>COUNTIF(Sales_Data!$K$2:$K$43, "&gt;5000")</f>
        <v>30</v>
      </c>
    </row>
    <row r="7" spans="1:2" x14ac:dyDescent="0.25">
      <c r="A7" s="6" t="s">
        <v>152</v>
      </c>
      <c r="B7" s="6">
        <f>SUMIF(Sales_Data!$K$2:$K$43, "&gt;5000")</f>
        <v>470235</v>
      </c>
    </row>
    <row r="8" spans="1:2" x14ac:dyDescent="0.25">
      <c r="A8" s="6" t="s">
        <v>153</v>
      </c>
      <c r="B8" s="6" t="str">
        <f>IF(Sales_Data!K2&gt;5000,"High","Low")</f>
        <v>Low</v>
      </c>
    </row>
    <row r="9" spans="1:2" x14ac:dyDescent="0.25">
      <c r="A9" s="6" t="s">
        <v>154</v>
      </c>
      <c r="B9" s="6">
        <f>COUNTIF(Sales_Data!$K$2:$K$43, "&gt;5000")</f>
        <v>30</v>
      </c>
    </row>
    <row r="10" spans="1:2" x14ac:dyDescent="0.25">
      <c r="A10" s="6" t="s">
        <v>155</v>
      </c>
      <c r="B10" s="6" t="e">
        <f>VLOOKUP(F2,Products!A:E,2,FALSE)</f>
        <v>#N/A</v>
      </c>
    </row>
    <row r="11" spans="1:2" x14ac:dyDescent="0.25">
      <c r="A11" s="6" t="s">
        <v>156</v>
      </c>
      <c r="B11" s="6" t="e">
        <f ca="1">XLOOKUP(F2,Products!A:A,Products!B:B)</f>
        <v>#NAME?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9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1" x14ac:dyDescent="0.25">
      <c r="A1" s="1" t="s">
        <v>157</v>
      </c>
    </row>
    <row r="2" spans="1:1" x14ac:dyDescent="0.25">
      <c r="A2" s="6" t="s">
        <v>158</v>
      </c>
    </row>
    <row r="3" spans="1:1" x14ac:dyDescent="0.25">
      <c r="A3" s="6" t="s">
        <v>159</v>
      </c>
    </row>
    <row r="4" spans="1:1" x14ac:dyDescent="0.25">
      <c r="A4" s="6"/>
    </row>
    <row r="5" spans="1:1" x14ac:dyDescent="0.25">
      <c r="A5" s="6" t="s">
        <v>160</v>
      </c>
    </row>
    <row r="6" spans="1:1" x14ac:dyDescent="0.25">
      <c r="A6" s="6" t="s">
        <v>159</v>
      </c>
    </row>
    <row r="7" spans="1:1" x14ac:dyDescent="0.25">
      <c r="A7" s="6"/>
    </row>
    <row r="8" spans="1:1" x14ac:dyDescent="0.25">
      <c r="A8" s="6" t="s">
        <v>161</v>
      </c>
    </row>
    <row r="9" spans="1:1" x14ac:dyDescent="0.25">
      <c r="A9" s="6" t="s">
        <v>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Sales_Data</vt:lpstr>
      <vt:lpstr>Customers</vt:lpstr>
      <vt:lpstr>Products</vt:lpstr>
      <vt:lpstr>Employees</vt:lpstr>
      <vt:lpstr>Analysis</vt:lpstr>
      <vt:lpstr>Pivot_Table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shubham pandey</cp:lastModifiedBy>
  <dcterms:created xsi:type="dcterms:W3CDTF">2026-10-03T15:56:44Z</dcterms:created>
  <dcterms:modified xsi:type="dcterms:W3CDTF">2026-10-03T16:00:58Z</dcterms:modified>
</cp:coreProperties>
</file>